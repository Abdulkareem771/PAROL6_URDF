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<sst xmlns="http://schemas.openxmlformats.org/spreadsheetml/2006/main" count="70" uniqueCount="64">
  <si>
    <t xml:space="preserve">Distance (By Laser)</t>
  </si>
  <si>
    <t xml:space="preserve">Tob_L</t>
  </si>
  <si>
    <t xml:space="preserve">Tob_R</t>
  </si>
  <si>
    <t xml:space="preserve">Bottom_L</t>
  </si>
  <si>
    <t xml:space="preserve">Bottom_R</t>
  </si>
  <si>
    <t xml:space="preserve">Center</t>
  </si>
  <si>
    <t xml:space="preserve">Real_measurement</t>
  </si>
  <si>
    <t xml:space="preserve"> 1.04 meter</t>
  </si>
  <si>
    <t xml:space="preserve">201,122 : 1.045</t>
  </si>
  <si>
    <t xml:space="preserve">288, 113 : 1.047</t>
  </si>
  <si>
    <t xml:space="preserve">207, 189 : 1.06</t>
  </si>
  <si>
    <t xml:space="preserve">281, 189 : 1.06</t>
  </si>
  <si>
    <t xml:space="preserve">245, 162 : 1.058</t>
  </si>
  <si>
    <t xml:space="preserve">2.169 meter</t>
  </si>
  <si>
    <t xml:space="preserve">232, 161 : 2.162</t>
  </si>
  <si>
    <t xml:space="preserve">263, 165 : 2.180</t>
  </si>
  <si>
    <t xml:space="preserve">234, 188 : 2.188</t>
  </si>
  <si>
    <t xml:space="preserve">262, 188 : 2.184</t>
  </si>
  <si>
    <t xml:space="preserve">247, 178 : 2.186</t>
  </si>
  <si>
    <t xml:space="preserve">2.064 meter</t>
  </si>
  <si>
    <t xml:space="preserve">232, 161 : 2.074</t>
  </si>
  <si>
    <t xml:space="preserve">265, 161 : 2.081</t>
  </si>
  <si>
    <t xml:space="preserve">232, 188 : 1.984</t>
  </si>
  <si>
    <t xml:space="preserve">264, 188 : 2.085</t>
  </si>
  <si>
    <t xml:space="preserve">247, 170 : 2.086</t>
  </si>
  <si>
    <t xml:space="preserve">1.795 meter</t>
  </si>
  <si>
    <t xml:space="preserve">232, 161 : 1.805</t>
  </si>
  <si>
    <t xml:space="preserve">265, 161 : 1.805</t>
  </si>
  <si>
    <t xml:space="preserve">232, 188 : 1.812</t>
  </si>
  <si>
    <t xml:space="preserve">264, 188 : 1.812</t>
  </si>
  <si>
    <t xml:space="preserve">247, 170 : 1.809</t>
  </si>
  <si>
    <t xml:space="preserve">1.595 meter</t>
  </si>
  <si>
    <t xml:space="preserve">221, 146 : 1.595</t>
  </si>
  <si>
    <t xml:space="preserve">266, 146 : 1.597</t>
  </si>
  <si>
    <t xml:space="preserve">221, 191 : 1.607</t>
  </si>
  <si>
    <t xml:space="preserve">267, 191 : 1.607</t>
  </si>
  <si>
    <t xml:space="preserve">247, 170 : 1.605</t>
  </si>
  <si>
    <t xml:space="preserve">1.379 meter</t>
  </si>
  <si>
    <t xml:space="preserve">221, 146 : 1.382</t>
  </si>
  <si>
    <t xml:space="preserve">266, 146 : 1.383</t>
  </si>
  <si>
    <t xml:space="preserve">221, 184 : 1.390</t>
  </si>
  <si>
    <t xml:space="preserve">267, 184 : 1.390</t>
  </si>
  <si>
    <t xml:space="preserve">247, 171 : 1.388</t>
  </si>
  <si>
    <t xml:space="preserve">1.252 meter</t>
  </si>
  <si>
    <t xml:space="preserve">203, 129 : 1.250</t>
  </si>
  <si>
    <t xml:space="preserve">271, 131 : 1.251</t>
  </si>
  <si>
    <t xml:space="preserve">202, 186 : 1.260</t>
  </si>
  <si>
    <t xml:space="preserve">268, 186 : 1.262</t>
  </si>
  <si>
    <t xml:space="preserve">247, 170 : 1.261</t>
  </si>
  <si>
    <t xml:space="preserve">1.073 meter</t>
  </si>
  <si>
    <t xml:space="preserve">197, 120 : 1.077</t>
  </si>
  <si>
    <t xml:space="preserve">267, 120 : 1.078</t>
  </si>
  <si>
    <t xml:space="preserve">197, 185 : 1.090</t>
  </si>
  <si>
    <t xml:space="preserve">267, 189 : 1.091</t>
  </si>
  <si>
    <t xml:space="preserve">247, 170 : 1.090</t>
  </si>
  <si>
    <t xml:space="preserve">0.866 meter</t>
  </si>
  <si>
    <t xml:space="preserve">170, 93 : 0.868</t>
  </si>
  <si>
    <t xml:space="preserve">275, 93 : 0.866</t>
  </si>
  <si>
    <t xml:space="preserve">170, 180 : 0.881</t>
  </si>
  <si>
    <t xml:space="preserve">267, 180 : 0.881</t>
  </si>
  <si>
    <t xml:space="preserve">247, 170 : 0.881</t>
  </si>
  <si>
    <t xml:space="preserve">Average</t>
  </si>
  <si>
    <t xml:space="preserve">Error</t>
  </si>
  <si>
    <t xml:space="preserve">Error in cm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</si>
</sst>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Compare</a:t>
            </a:r>
          </a:p>
        </c:rich>
      </c:tx>
      <c:layout>
        <c:manualLayout>
          <c:xMode val="edge"/>
          <c:yMode val="edge"/>
          <c:x val="0.476361434318093"/>
          <c:y val="0.0661493546404425"/>
        </c:manualLayout>
      </c:layout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Sheet1!$A$19:$A$27</c:f>
              <c:numCache>
                <c:formatCode>General</c:formatCode>
                <c:ptCount val="9"/>
                <c:pt idx="0">
                  <c:v>1.04</c:v>
                </c:pt>
                <c:pt idx="1">
                  <c:v>2.169</c:v>
                </c:pt>
                <c:pt idx="2">
                  <c:v>2.064</c:v>
                </c:pt>
                <c:pt idx="3">
                  <c:v>1.795</c:v>
                </c:pt>
                <c:pt idx="4">
                  <c:v>1.595</c:v>
                </c:pt>
                <c:pt idx="5">
                  <c:v>1.379</c:v>
                </c:pt>
                <c:pt idx="6">
                  <c:v>1.252</c:v>
                </c:pt>
                <c:pt idx="7">
                  <c:v>1.073</c:v>
                </c:pt>
                <c:pt idx="8">
                  <c:v>0.866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Sheet1!$G$19:$G$27</c:f>
              <c:numCache>
                <c:formatCode>General</c:formatCode>
                <c:ptCount val="9"/>
                <c:pt idx="0">
                  <c:v>1.054</c:v>
                </c:pt>
                <c:pt idx="1">
                  <c:v>2.18</c:v>
                </c:pt>
                <c:pt idx="2">
                  <c:v>2.062</c:v>
                </c:pt>
                <c:pt idx="3">
                  <c:v>1.8086</c:v>
                </c:pt>
                <c:pt idx="4">
                  <c:v>1.6022</c:v>
                </c:pt>
                <c:pt idx="5">
                  <c:v>1.3866</c:v>
                </c:pt>
                <c:pt idx="6">
                  <c:v>1.2568</c:v>
                </c:pt>
                <c:pt idx="7">
                  <c:v>1.0852</c:v>
                </c:pt>
                <c:pt idx="8">
                  <c:v>0.8754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2162400"/>
        <c:axId val="40624475"/>
      </c:lineChart>
      <c:catAx>
        <c:axId val="72162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0624475"/>
        <c:crosses val="autoZero"/>
        <c:auto val="1"/>
        <c:lblAlgn val="ctr"/>
        <c:lblOffset val="100"/>
        <c:noMultiLvlLbl val="0"/>
      </c:catAx>
      <c:valAx>
        <c:axId val="4062447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2162400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445320</xdr:colOff>
      <xdr:row>10</xdr:row>
      <xdr:rowOff>104760</xdr:rowOff>
    </xdr:from>
    <xdr:to>
      <xdr:col>12</xdr:col>
      <xdr:colOff>244440</xdr:colOff>
      <xdr:row>39</xdr:row>
      <xdr:rowOff>75960</xdr:rowOff>
    </xdr:to>
    <xdr:graphicFrame>
      <xdr:nvGraphicFramePr>
        <xdr:cNvPr id="0" name=""/>
        <xdr:cNvGraphicFramePr/>
      </xdr:nvGraphicFramePr>
      <xdr:xfrm>
        <a:off x="4397040" y="1730520"/>
        <a:ext cx="8322480" cy="4685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true" showOutlineSymbols="true" defaultGridColor="true" view="normal" topLeftCell="C12" colorId="64" zoomScale="100" zoomScaleNormal="100" zoomScalePageLayoutView="100" workbookViewId="0">
      <selection pane="topLeft" activeCell="N17" activeCellId="0" sqref="N1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9.45"/>
    <col collapsed="false" customWidth="true" hidden="false" outlineLevel="0" max="2" min="2" style="1" width="16.26"/>
    <col collapsed="false" customWidth="true" hidden="false" outlineLevel="0" max="3" min="3" style="1" width="20.3"/>
    <col collapsed="false" customWidth="true" hidden="false" outlineLevel="0" max="4" min="4" style="1" width="15.42"/>
    <col collapsed="false" customWidth="true" hidden="false" outlineLevel="0" max="5" min="5" style="1" width="21.55"/>
    <col collapsed="false" customWidth="true" hidden="false" outlineLevel="0" max="6" min="6" style="1" width="14.72"/>
    <col collapsed="false" customWidth="false" hidden="false" outlineLevel="0" max="1024" min="7" style="1" width="11.52"/>
  </cols>
  <sheetData>
    <row r="1" customFormat="false" ht="12.8" hidden="false" customHeight="false" outlineLevel="0" collapsed="false">
      <c r="A1" s="2"/>
      <c r="B1" s="2"/>
      <c r="C1" s="2"/>
      <c r="D1" s="2"/>
      <c r="E1" s="2"/>
      <c r="F1" s="2"/>
    </row>
    <row r="2" customFormat="false" ht="12.8" hidden="false" customHeight="false" outlineLevel="0" collapsed="false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I2" s="1" t="s">
        <v>6</v>
      </c>
    </row>
    <row r="3" customFormat="false" ht="12.8" hidden="false" customHeight="false" outlineLevel="0" collapsed="false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I3" s="1" t="n">
        <v>1.04</v>
      </c>
    </row>
    <row r="4" customFormat="false" ht="12.8" hidden="false" customHeight="false" outlineLevel="0" collapsed="false">
      <c r="A4" s="1" t="s">
        <v>13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</row>
    <row r="5" customFormat="false" ht="12.8" hidden="false" customHeight="false" outlineLevel="0" collapsed="false">
      <c r="A5" s="1" t="s">
        <v>19</v>
      </c>
      <c r="B5" s="1" t="s">
        <v>20</v>
      </c>
      <c r="C5" s="1" t="s">
        <v>21</v>
      </c>
      <c r="D5" s="1" t="s">
        <v>22</v>
      </c>
      <c r="E5" s="1" t="s">
        <v>23</v>
      </c>
      <c r="F5" s="1" t="s">
        <v>24</v>
      </c>
    </row>
    <row r="6" customFormat="false" ht="12.8" hidden="false" customHeight="false" outlineLevel="0" collapsed="false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  <c r="F6" s="1" t="s">
        <v>30</v>
      </c>
    </row>
    <row r="7" customFormat="false" ht="12.8" hidden="false" customHeight="false" outlineLevel="0" collapsed="false">
      <c r="A7" s="1" t="s">
        <v>31</v>
      </c>
      <c r="B7" s="1" t="s">
        <v>32</v>
      </c>
      <c r="C7" s="1" t="s">
        <v>33</v>
      </c>
      <c r="D7" s="1" t="s">
        <v>34</v>
      </c>
      <c r="E7" s="1" t="s">
        <v>35</v>
      </c>
      <c r="F7" s="1" t="s">
        <v>36</v>
      </c>
    </row>
    <row r="8" customFormat="false" ht="12.8" hidden="false" customHeight="false" outlineLevel="0" collapsed="false">
      <c r="A8" s="1" t="s">
        <v>37</v>
      </c>
      <c r="B8" s="1" t="s">
        <v>38</v>
      </c>
      <c r="C8" s="1" t="s">
        <v>39</v>
      </c>
      <c r="D8" s="1" t="s">
        <v>40</v>
      </c>
      <c r="E8" s="1" t="s">
        <v>41</v>
      </c>
      <c r="F8" s="1" t="s">
        <v>42</v>
      </c>
    </row>
    <row r="9" customFormat="false" ht="12.8" hidden="false" customHeight="false" outlineLevel="0" collapsed="false">
      <c r="A9" s="1" t="s">
        <v>43</v>
      </c>
      <c r="B9" s="1" t="s">
        <v>44</v>
      </c>
      <c r="C9" s="1" t="s">
        <v>45</v>
      </c>
      <c r="D9" s="1" t="s">
        <v>46</v>
      </c>
      <c r="E9" s="1" t="s">
        <v>47</v>
      </c>
      <c r="F9" s="1" t="s">
        <v>48</v>
      </c>
    </row>
    <row r="10" customFormat="false" ht="12.8" hidden="false" customHeight="false" outlineLevel="0" collapsed="false">
      <c r="A10" s="1" t="s">
        <v>49</v>
      </c>
      <c r="B10" s="1" t="s">
        <v>50</v>
      </c>
      <c r="C10" s="1" t="s">
        <v>51</v>
      </c>
      <c r="D10" s="1" t="s">
        <v>52</v>
      </c>
      <c r="E10" s="1" t="s">
        <v>53</v>
      </c>
      <c r="F10" s="1" t="s">
        <v>54</v>
      </c>
    </row>
    <row r="11" customFormat="false" ht="12.8" hidden="false" customHeight="false" outlineLevel="0" collapsed="false">
      <c r="A11" s="1" t="s">
        <v>55</v>
      </c>
      <c r="B11" s="1" t="s">
        <v>56</v>
      </c>
      <c r="C11" s="1" t="s">
        <v>57</v>
      </c>
      <c r="D11" s="1" t="s">
        <v>58</v>
      </c>
      <c r="E11" s="1" t="s">
        <v>59</v>
      </c>
      <c r="F11" s="1" t="s">
        <v>60</v>
      </c>
    </row>
    <row r="18" customFormat="false" ht="12.8" hidden="false" customHeight="false" outlineLevel="0" collapsed="false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61</v>
      </c>
      <c r="H18" s="1" t="s">
        <v>62</v>
      </c>
      <c r="I18" s="1" t="s">
        <v>63</v>
      </c>
    </row>
    <row r="19" customFormat="false" ht="12.8" hidden="false" customHeight="false" outlineLevel="0" collapsed="false">
      <c r="A19" s="1" t="n">
        <v>1.04</v>
      </c>
      <c r="B19" s="1" t="n">
        <v>1.045</v>
      </c>
      <c r="C19" s="1" t="n">
        <v>1.047</v>
      </c>
      <c r="D19" s="1" t="n">
        <v>1.06</v>
      </c>
      <c r="E19" s="1" t="n">
        <v>1.06</v>
      </c>
      <c r="F19" s="1" t="n">
        <v>1.058</v>
      </c>
      <c r="G19" s="1" t="n">
        <f aca="false">AVERAGE(B19:F19)</f>
        <v>1.054</v>
      </c>
      <c r="H19" s="1" t="n">
        <f aca="false">A19-G19</f>
        <v>-0.0139999999999998</v>
      </c>
      <c r="I19" s="1" t="n">
        <f aca="false">H19*100</f>
        <v>-1.39999999999998</v>
      </c>
    </row>
    <row r="20" customFormat="false" ht="12.8" hidden="false" customHeight="false" outlineLevel="0" collapsed="false">
      <c r="A20" s="1" t="n">
        <v>2.169</v>
      </c>
      <c r="B20" s="1" t="n">
        <v>2.162</v>
      </c>
      <c r="C20" s="1" t="n">
        <v>2.18</v>
      </c>
      <c r="D20" s="1" t="n">
        <v>2.188</v>
      </c>
      <c r="E20" s="1" t="n">
        <v>2.184</v>
      </c>
      <c r="F20" s="1" t="n">
        <v>2.186</v>
      </c>
      <c r="G20" s="1" t="n">
        <f aca="false">AVERAGE(B20:F20)</f>
        <v>2.18</v>
      </c>
      <c r="H20" s="1" t="n">
        <f aca="false">A20-G20</f>
        <v>-0.0110000000000001</v>
      </c>
      <c r="I20" s="1" t="n">
        <f aca="false">H20*100</f>
        <v>-1.10000000000001</v>
      </c>
    </row>
    <row r="21" customFormat="false" ht="12.8" hidden="false" customHeight="false" outlineLevel="0" collapsed="false">
      <c r="A21" s="1" t="n">
        <v>2.064</v>
      </c>
      <c r="B21" s="1" t="n">
        <v>2.074</v>
      </c>
      <c r="C21" s="1" t="n">
        <v>2.081</v>
      </c>
      <c r="D21" s="1" t="n">
        <v>1.984</v>
      </c>
      <c r="E21" s="1" t="n">
        <v>2.085</v>
      </c>
      <c r="F21" s="1" t="n">
        <v>2.086</v>
      </c>
      <c r="G21" s="1" t="n">
        <f aca="false">AVERAGE(B21:F21)</f>
        <v>2.062</v>
      </c>
      <c r="H21" s="1" t="n">
        <f aca="false">A21-G21</f>
        <v>0.00200000000000022</v>
      </c>
      <c r="I21" s="1" t="n">
        <f aca="false">H21*100</f>
        <v>0.200000000000022</v>
      </c>
    </row>
    <row r="22" customFormat="false" ht="12.8" hidden="false" customHeight="false" outlineLevel="0" collapsed="false">
      <c r="A22" s="1" t="n">
        <v>1.795</v>
      </c>
      <c r="B22" s="1" t="n">
        <v>1.805</v>
      </c>
      <c r="C22" s="1" t="n">
        <v>1.805</v>
      </c>
      <c r="D22" s="1" t="n">
        <v>1.812</v>
      </c>
      <c r="E22" s="1" t="n">
        <v>1.812</v>
      </c>
      <c r="F22" s="1" t="n">
        <v>1.809</v>
      </c>
      <c r="G22" s="1" t="n">
        <f aca="false">AVERAGE(B22:F22)</f>
        <v>1.8086</v>
      </c>
      <c r="H22" s="1" t="n">
        <f aca="false">A22-G22</f>
        <v>-0.0135999999999998</v>
      </c>
      <c r="I22" s="1" t="n">
        <f aca="false">H22*100</f>
        <v>-1.35999999999998</v>
      </c>
    </row>
    <row r="23" customFormat="false" ht="12.8" hidden="false" customHeight="false" outlineLevel="0" collapsed="false">
      <c r="A23" s="1" t="n">
        <v>1.595</v>
      </c>
      <c r="B23" s="1" t="n">
        <v>1.595</v>
      </c>
      <c r="C23" s="1" t="n">
        <v>1.597</v>
      </c>
      <c r="D23" s="1" t="n">
        <v>1.607</v>
      </c>
      <c r="E23" s="1" t="n">
        <v>1.607</v>
      </c>
      <c r="F23" s="1" t="n">
        <v>1.605</v>
      </c>
      <c r="G23" s="1" t="n">
        <f aca="false">AVERAGE(B23:F23)</f>
        <v>1.6022</v>
      </c>
      <c r="H23" s="1" t="n">
        <f aca="false">A23-G23</f>
        <v>-0.00719999999999987</v>
      </c>
      <c r="I23" s="1" t="n">
        <f aca="false">H23*100</f>
        <v>-0.719999999999987</v>
      </c>
    </row>
    <row r="24" customFormat="false" ht="12.8" hidden="false" customHeight="false" outlineLevel="0" collapsed="false">
      <c r="A24" s="1" t="n">
        <v>1.379</v>
      </c>
      <c r="B24" s="1" t="n">
        <v>1.382</v>
      </c>
      <c r="C24" s="1" t="n">
        <v>1.383</v>
      </c>
      <c r="D24" s="1" t="n">
        <v>1.39</v>
      </c>
      <c r="E24" s="1" t="n">
        <v>1.39</v>
      </c>
      <c r="F24" s="1" t="n">
        <v>1.388</v>
      </c>
      <c r="G24" s="1" t="n">
        <f aca="false">AVERAGE(B24:F24)</f>
        <v>1.3866</v>
      </c>
      <c r="H24" s="1" t="n">
        <f aca="false">A24-G24</f>
        <v>-0.00760000000000005</v>
      </c>
      <c r="I24" s="1" t="n">
        <f aca="false">H24*100</f>
        <v>-0.760000000000005</v>
      </c>
    </row>
    <row r="25" customFormat="false" ht="12.8" hidden="false" customHeight="false" outlineLevel="0" collapsed="false">
      <c r="A25" s="1" t="n">
        <v>1.252</v>
      </c>
      <c r="B25" s="1" t="n">
        <v>1.25</v>
      </c>
      <c r="C25" s="1" t="n">
        <v>1.251</v>
      </c>
      <c r="D25" s="1" t="n">
        <v>1.26</v>
      </c>
      <c r="E25" s="1" t="n">
        <v>1.262</v>
      </c>
      <c r="F25" s="1" t="n">
        <v>1.261</v>
      </c>
      <c r="G25" s="1" t="n">
        <f aca="false">AVERAGE(B25:F25)</f>
        <v>1.2568</v>
      </c>
      <c r="H25" s="1" t="n">
        <f aca="false">A25-G25</f>
        <v>-0.00479999999999992</v>
      </c>
      <c r="I25" s="1" t="n">
        <f aca="false">H25*100</f>
        <v>-0.479999999999992</v>
      </c>
    </row>
    <row r="26" customFormat="false" ht="12.8" hidden="false" customHeight="false" outlineLevel="0" collapsed="false">
      <c r="A26" s="1" t="n">
        <v>1.073</v>
      </c>
      <c r="B26" s="1" t="n">
        <v>1.077</v>
      </c>
      <c r="C26" s="1" t="n">
        <v>1.078</v>
      </c>
      <c r="D26" s="1" t="n">
        <v>1.09</v>
      </c>
      <c r="E26" s="1" t="n">
        <v>1.091</v>
      </c>
      <c r="F26" s="1" t="n">
        <v>1.09</v>
      </c>
      <c r="G26" s="1" t="n">
        <f aca="false">AVERAGE(B26:F26)</f>
        <v>1.0852</v>
      </c>
      <c r="H26" s="1" t="n">
        <f aca="false">A26-G26</f>
        <v>-0.0122</v>
      </c>
      <c r="I26" s="1" t="n">
        <f aca="false">H26*100</f>
        <v>-1.22</v>
      </c>
    </row>
    <row r="27" customFormat="false" ht="12.8" hidden="false" customHeight="false" outlineLevel="0" collapsed="false">
      <c r="A27" s="1" t="n">
        <v>0.866</v>
      </c>
      <c r="B27" s="1" t="n">
        <v>0.868</v>
      </c>
      <c r="C27" s="1" t="n">
        <v>0.866</v>
      </c>
      <c r="D27" s="1" t="n">
        <v>0.881</v>
      </c>
      <c r="E27" s="1" t="n">
        <v>0.881</v>
      </c>
      <c r="F27" s="1" t="n">
        <v>0.881</v>
      </c>
      <c r="G27" s="1" t="n">
        <f aca="false">AVERAGE(B27:F27)</f>
        <v>0.8754</v>
      </c>
      <c r="H27" s="1" t="n">
        <f aca="false">A27-G27</f>
        <v>-0.00939999999999996</v>
      </c>
      <c r="I27" s="1" t="n">
        <f aca="false">H27*100</f>
        <v>-0.939999999999996</v>
      </c>
    </row>
  </sheetData>
  <mergeCells count="1">
    <mergeCell ref="A1:F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2026-01-31T04:37:23Z</dcterms:created>
  <dc:creator/>
  <dc:description/>
  <dc:language>en-GB</dc:language>
  <cp:lastModifiedBy/>
  <dcterms:modified xsi:type="dcterms:W3CDTF">2026-01-31T06:24:46Z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